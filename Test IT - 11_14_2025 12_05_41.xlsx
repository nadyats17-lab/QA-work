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23fc6fff146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457894463043dfa2b47e21174d3ae0.psmdcp" Id="R6f52fd70eeeb4f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Основной проект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6" i="1"/>
  <x:c r="C10" i="1"/>
  <x:c r="C15" i="1"/>
  <x:c r="C19" i="1"/>
  <x:c r="C23" i="1"/>
  <x:c r="C28" i="1"/>
  <x:c r="C33" i="1"/>
  <x:c r="C37" i="1"/>
  <x:c r="C40" i="1"/>
  <x:c r="C44" i="1"/>
  <x:c r="C47" i="1"/>
  <x:c r="C51" i="1"/>
  <x:c r="C53" i="1"/>
  <x:c r="C56" i="1"/>
  <x:c r="C58" i="1"/>
  <x:c r="C60" i="1"/>
  <x:c r="C62" i="1"/>
  <x:c r="C64" i="1"/>
  <x:c r="C67" i="1"/>
  <x:c r="C71" i="1"/>
  <x:c r="C73" i="1"/>
  <x:c r="C75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<x:sst xmlns:x="http://schemas.openxmlformats.org/spreadsheetml/2006/main">
  <x:si>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</x:si>
  <x:si>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</x:si>
  <x:si>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</x:si>
  <x:si>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</x:si>
  <x:si>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</x:si>
  <x:si>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</x:si>
  <x:si>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</x:si>
  <x:si>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</x:si>
  <x:si>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</x:si>
  <x:si>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</x:si>
  <x:si>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</x:si>
  <x:si>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</x:si>
  <x:si>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</x:si>
  <x:si>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</x:si>
  <x:si>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</x:si>
  <x:si>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</x:si>
  <x:si>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</x:si>
  <x:si>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3</x:t>
  </x:si>
  <x:si>
    <x:t>Основной проект</x:t>
  </x:si>
  <x:si>
    <x:t>Нет</x:t>
  </x:si>
  <x:si>
    <x:t/>
  </x:si>
  <x:si>
    <x:t>Средний</x:t>
  </x:si>
  <x:si>
    <x:t>Не готов</x:t>
  </x:si>
  <x:si>
    <x:t>4/23/2025 10:31:23</x:t>
  </x:si>
  <x:si>
    <x:t>Nadezhda Tsyganova</x:t>
  </x:si>
  <x:si>
    <x:t>0h 10m 0s</x:t>
  </x:si>
  <x:si>
    <x:t>регистрация</x:t>
  </x:si>
  <x:si>
    <x:t>Открыть окно регистрации</x:t>
  </x:si>
  <x:si>
    <x:t>Окно открыто</x:t>
  </x:si>
  <x:si>
    <x:t>Ввод имя 3 символа</x:t>
  </x:si>
  <x:si>
    <x:t>Успех</x:t>
  </x:si>
  <x:si>
    <x:t>Ввод имя &gt;= 15 символов</x:t>
  </x:si>
  <x:si>
    <x:t>4</x:t>
  </x:si>
  <x:si>
    <x:t>4/23/2025 10:33:51</x:t>
  </x:si>
  <x:si>
    <x:t>Открыто окно регистрации</x:t>
  </x:si>
  <x:si>
    <x:t>успех</x:t>
  </x:si>
  <x:si>
    <x:t>Пароль из 8 символов (цифры, буквы)</x:t>
  </x:si>
  <x:si>
    <x:t>Пароль 15 символов</x:t>
  </x:si>
  <x:si>
    <x:t>5</x:t>
  </x:si>
  <x:si>
    <x:t>4/23/2025 10:36:08</x:t>
  </x:si>
  <x:si>
    <x:t>авторизация</x:t>
  </x:si>
  <x:si>
    <x:t>Регистрация прошла</x:t>
  </x:si>
  <x:si>
    <x:t>Вход на сервер</x:t>
  </x:si>
  <x:si>
    <x:t>Нажать кнопку ‘вход’</x:t>
  </x:si>
  <x:si>
    <x:t>Кнопка ‘вход’ заменяется на ‘выход’</x:t>
  </x:si>
  <x:si>
    <x:t>Ошибка соединения с сервером</x:t>
  </x:si>
  <x:si>
    <x:t>Сообщение “Произошла ошибка при обработке запроса"</x:t>
  </x:si>
  <x:si>
    <x:t>6</x:t>
  </x:si>
  <x:si>
    <x:t>4/23/2025 10:39:06</x:t>
  </x:si>
  <x:si>
    <x:t>Пользователь зарегистрирован в приложении</x:t>
  </x:si>
  <x:si>
    <x:t>Верное имя и пароль</x:t>
  </x:si>
  <x:si>
    <x:t>Нет сообщений об ошибке</x:t>
  </x:si>
  <x:si>
    <x:t>Кнопка ‘Вход’</x:t>
  </x:si>
  <x:si>
    <x:t>Переход на главную страницу</x:t>
  </x:si>
  <x:si>
    <x:t>7</x:t>
  </x:si>
  <x:si>
    <x:t>4/23/2025 10:42:00</x:t>
  </x:si>
  <x:si>
    <x:t>Вход в систему</x:t>
  </x:si>
  <x:si>
    <x:t>Кнопка ‘выйти’</x:t>
  </x:si>
  <x:si>
    <x:t>Выход из системы</x:t>
  </x:si>
  <x:si>
    <x:t>Переход в неавторизованный вид</x:t>
  </x:si>
  <x:si>
    <x:t>8</x:t>
  </x:si>
  <x:si>
    <x:t>4/23/2025 10:44:29</x:t>
  </x:si>
  <x:si>
    <x:t>Пользователь в системе</x:t>
  </x:si>
  <x:si>
    <x:t>Переход “Корзина”</x:t>
  </x:si>
  <x:si>
    <x:t>проверка авторизации</x:t>
  </x:si>
  <x:si>
    <x:t>Переход “Оплата'“</x:t>
  </x:si>
  <x:si>
    <x:t>Переход "История заказов"</x:t>
  </x:si>
  <x:si>
    <x:t>9</x:t>
  </x:si>
  <x:si>
    <x:t>4/23/2025 10:47:36</x:t>
  </x:si>
  <x:si>
    <x:t>Пустая строка</x:t>
  </x:si>
  <x:si>
    <x:t>Ошибка</x:t>
  </x:si>
  <x:si>
    <x:t>2 символа</x:t>
  </x:si>
  <x:si>
    <x:t>16 символов</x:t>
  </x:si>
  <x:si>
    <x:t>Ввод спецсимволов</x:t>
  </x:si>
  <x:si>
    <x:t>10</x:t>
  </x:si>
  <x:si>
    <x:t>4/23/2025 10:48:57</x:t>
  </x:si>
  <x:si>
    <x:t>Пароль из 7 символов</x:t>
  </x:si>
  <x:si>
    <x:t>error message</x:t>
  </x:si>
  <x:si>
    <x:t>Пароль из 8 символов без букв</x:t>
  </x:si>
  <x:si>
    <x:t>Пароль из 8 символов без цифр</x:t>
  </x:si>
  <x:si>
    <x:t>11</x:t>
  </x:si>
  <x:si>
    <x:t>4/23/2025 10:52:03</x:t>
  </x:si>
  <x:si>
    <x:t>Имя не соответсвует критериям валидации</x:t>
  </x:si>
  <x:si>
    <x:t>Пароль не соответствует критериям валидации</x:t>
  </x:si>
  <x:si>
    <x:t>12</x:t>
  </x:si>
  <x:si>
    <x:t>4/23/2025 10:53:38</x:t>
  </x:si>
  <x:si>
    <x:t>Был вход на сервер</x:t>
  </x:si>
  <x:si>
    <x:t>Нет авторизации</x:t>
  </x:si>
  <x:si>
    <x:t>сообщение о необходимости авторизации  со ссылкой</x:t>
  </x:si>
  <x:si>
    <x:t>Нажатие на ссылку</x:t>
  </x:si>
  <x:si>
    <x:t>Переход на страницу входа</x:t>
  </x:si>
  <x:si>
    <x:t>44</x:t>
  </x:si>
  <x:si>
    <x:t>Самый высокий</x:t>
  </x:si>
  <x:si>
    <x:t>Готов</x:t>
  </x:si>
  <x:si>
    <x:t>9/7/2025 08:23:17</x:t>
  </x:si>
  <x:si>
    <x:t>Открыть apk файл</x:t>
  </x:si>
  <x:si>
    <x:t>Приложение установлено</x:t>
  </x:si>
  <x:si>
    <x:t>Tap на иконку приложения</x:t>
  </x:si>
  <x:si>
    <x:t>Приложение открылось</x:t>
  </x:si>
  <x:si>
    <x:t>45</x:t>
  </x:si>
  <x:si>
    <x:t>9/7/2025 08:24:39</x:t>
  </x:si>
  <x:si>
    <x:t>Ввод 10 символов на русском языке</x:t>
  </x:si>
  <x:si>
    <x:t>Нажать кнопку “Добавить задачу”</x:t>
  </x:si>
  <x:si>
    <x:t>Запись создана</x:t>
  </x:si>
  <x:si>
    <x:t>Long Tap на созданную запись</x:t>
  </x:si>
  <x:si>
    <x:t>Открывается строка для редактирования</x:t>
  </x:si>
  <x:si>
    <x:t>46</x:t>
  </x:si>
  <x:si>
    <x:t>Высокий</x:t>
  </x:si>
  <x:si>
    <x:t>Требуется доработка</x:t>
  </x:si>
  <x:si>
    <x:t>9/7/2025 08:27:24</x:t>
  </x:si>
  <x:si>
    <x:t>Ввести 10 символов на английском</x:t>
  </x:si>
  <x:si>
    <x:t>Запись осуществлена</x:t>
  </x:si>
  <x:si>
    <x:t>“Задача должна быть на русском языке” сообщение приложения</x:t>
  </x:si>
  <x:si>
    <x:t>47</x:t>
  </x:si>
  <x:si>
    <x:t>9/7/2025 08:34:23</x:t>
  </x:si>
  <x:si>
    <x:t>Установлена русскоязычная раскладка</x:t>
  </x:si>
  <x:si>
    <x:t>Изменить язык на клавиатуре на русском</x:t>
  </x:si>
  <x:si>
    <x:t>Ввести 10 русских символов</x:t>
  </x:si>
  <x:si>
    <x:t>Задача создана</x:t>
  </x:si>
  <x:si>
    <x:t>После изменения языка на русский, клавиатура устройства больше не показывается</x:t>
  </x:si>
  <x:si>
    <x:t>48</x:t>
  </x:si>
  <x:si>
    <x:t>9/7/2025 08:44:52</x:t>
  </x:si>
  <x:si>
    <x:t>Ввод 4 чисел без пробелов</x:t>
  </x:si>
  <x:si>
    <x:t>Запись чисел</x:t>
  </x:si>
  <x:si>
    <x:t>12345</x:t>
  </x:si>
  <x:si>
    <x:t>49</x:t>
  </x:si>
  <x:si>
    <x:t>9/7/2025 08:47:00</x:t>
  </x:si>
  <x:si>
    <x:t>Ввод 4 чисел и 10 букв на русском</x:t>
  </x:si>
  <x:si>
    <x:t>1234приложение</x:t>
  </x:si>
  <x:si>
    <x:t>50</x:t>
  </x:si>
  <x:si>
    <x:t>9/7/2025 08:48:25</x:t>
  </x:si>
  <x:si>
    <x:t>Ввод 10 букв на русском языке и 4 цифр</x:t>
  </x:si>
  <x:si>
    <x:t>приложение1234</x:t>
  </x:si>
  <x:si>
    <x:t>“Запись должна быть на русском языке” сообщение приложения</x:t>
  </x:si>
  <x:si>
    <x:t>51</x:t>
  </x:si>
  <x:si>
    <x:t>9/7/2025 08:49:25</x:t>
  </x:si>
  <x:si>
    <x:t>Swipe вправо</x:t>
  </x:si>
  <x:si>
    <x:t>Приложение закрывается</x:t>
  </x:si>
  <x:si>
    <x:t>52</x:t>
  </x:si>
  <x:si>
    <x:t>9/7/2025 08:50:32</x:t>
  </x:si>
  <x:si>
    <x:t>Заметка создана</x:t>
  </x:si>
  <x:si>
    <x:t>Нажатие кнопки “DELETE”</x:t>
  </x:si>
  <x:si>
    <x:t>Запись удалена</x:t>
  </x:si>
  <x:si>
    <x:t>53</x:t>
  </x:si>
  <x:si>
    <x:t>9/7/2025 08:54:07</x:t>
  </x:si>
  <x:si>
    <x:t>Переключение клавиатуры на английский язык</x:t>
  </x:si>
  <x:si>
    <x:t>Long Tap на созданную заметку</x:t>
  </x:si>
  <x:si>
    <x:t>Введение 4 букв английского алфавита</x:t>
  </x:si>
  <x:si>
    <x:t>“Запись может быть только на русском языке” сообщение приложения</x:t>
  </x:si>
  <x:si>
    <x:t>ПРИЛОЖЕffffНИЕ</x:t>
  </x:si>
  <x:si>
    <x:t>Запись сохраняется с английскими буквами</x:t>
  </x:si>
  <x:si>
    <x:t>54</x:t>
  </x:si>
  <x:si>
    <x:t>9/7/2025 08:57:01</x:t>
  </x:si>
  <x:si>
    <x:t>Circle motion вокруг слова</x:t>
  </x:si>
  <x:si>
    <x:t>Слово выделяется</x:t>
  </x:si>
  <x:si>
    <x:t>Слово не выделяется</x:t>
  </x:si>
  <x:si>
    <x:t>55</x:t>
  </x:si>
  <x:si>
    <x:t>9/7/2025 08:58:37</x:t>
  </x:si>
  <x:si>
    <x:t>Swipe up слово в заметке, которое не разделено пробелом</x:t>
  </x:si>
  <x:si>
    <x:t>Слово разделено в месте Swipe up</x:t>
  </x:si>
  <x:si>
    <x:t>Слово не разделяется</x:t>
  </x:si>
  <x:si>
    <x:t>56</x:t>
  </x:si>
  <x:si>
    <x:t>9/7/2025 09:02:10</x:t>
  </x:si>
  <x:si>
    <x:t>Chechbox действие (галочка)</x:t>
  </x:si>
  <x:si>
    <x:t>Приложение прделагает ввести изменения в заметке</x:t>
  </x:si>
  <x:si>
    <x:t>Не работает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</x:si>
</x:sst>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76" totalsRowShown="0">
  <x:autoFilter ref="A1:Q7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17.567768" style="2" customWidth="1"/>
    <x:col min="3" max="3" width="50.710625" style="2" customWidth="1"/>
    <x:col min="4" max="4" width="20.139196" style="1" customWidth="1"/>
    <x:col min="5" max="5" width="4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50.710625" style="1" customWidth="1"/>
    <x:col min="11" max="11" width="12.282054" style="1" customWidth="1"/>
    <x:col min="12" max="12" width="15.853482" style="1" customWidth="1"/>
    <x:col min="13" max="13" width="20.853482" style="1" customWidth="1"/>
    <x:col min="14" max="14" width="18.139196" style="1" customWidth="1"/>
    <x:col min="15" max="15" width="19.996339" style="1" customWidth="1"/>
    <x:col min="16" max="16" width="16.139196" style="1" customWidth="1"/>
    <x:col min="17" max="17" width="12.996339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HYPERLINK("https://team-my3q.testit.software/projects/1/tests/3", "Успешный ввод имени при регистрации")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28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29</x:v>
      </x:c>
      <x:c r="G4" s="1" t="s">
        <x:v>20</x:v>
      </x:c>
      <x:c r="H4" s="1" t="s">
        <x:v>30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31</x:v>
      </x:c>
      <x:c r="G5" s="1" t="s">
        <x:v>20</x:v>
      </x:c>
      <x:c r="H5" s="1" t="s">
        <x:v>30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32</x:v>
      </x:c>
      <x:c r="B6" s="2" t="s">
        <x:v>18</x:v>
      </x:c>
      <x:c r="C6" s="2">
        <x:f>HYPERLINK("https://team-my3q.testit.software/projects/1/tests/4", "Успешный ввод пароля при регистрации")</x:f>
      </x:c>
      <x:c r="D6" s="1" t="s">
        <x:v>19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21</x:v>
      </x:c>
      <x:c r="M6" s="1" t="s">
        <x:v>22</x:v>
      </x:c>
      <x:c r="N6" s="1" t="s">
        <x:v>33</x:v>
      </x:c>
      <x:c r="O6" s="1" t="s">
        <x:v>24</x:v>
      </x:c>
      <x:c r="P6" s="1" t="s">
        <x:v>25</x:v>
      </x:c>
      <x:c r="Q6" s="1" t="s">
        <x:v>26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34</x:v>
      </x:c>
      <x:c r="F7" s="1" t="s">
        <x:v>20</x:v>
      </x:c>
      <x:c r="G7" s="1" t="s">
        <x:v>20</x:v>
      </x:c>
      <x:c r="H7" s="1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36</x:v>
      </x:c>
      <x:c r="G8" s="1" t="s">
        <x:v>20</x:v>
      </x:c>
      <x:c r="H8" s="1" t="s">
        <x:v>30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37</x:v>
      </x:c>
      <x:c r="G9" s="1" t="s">
        <x:v>20</x:v>
      </x:c>
      <x:c r="H9" s="1" t="s">
        <x:v>30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38</x:v>
      </x:c>
      <x:c r="B10" s="2" t="s">
        <x:v>18</x:v>
      </x:c>
      <x:c r="C10" s="2">
        <x:f>HYPERLINK("https://team-my3q.testit.software/projects/1/tests/5", "Вход на сервер")</x:f>
      </x:c>
      <x:c r="D10" s="1" t="s">
        <x:v>19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21</x:v>
      </x:c>
      <x:c r="M10" s="1" t="s">
        <x:v>22</x:v>
      </x:c>
      <x:c r="N10" s="1" t="s">
        <x:v>39</x:v>
      </x:c>
      <x:c r="O10" s="1" t="s">
        <x:v>24</x:v>
      </x:c>
      <x:c r="P10" s="1" t="s">
        <x:v>25</x:v>
      </x:c>
      <x:c r="Q10" s="1" t="s">
        <x:v>40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41</x:v>
      </x:c>
      <x:c r="F11" s="1" t="s">
        <x:v>20</x:v>
      </x:c>
      <x:c r="G11" s="1" t="s">
        <x:v>20</x:v>
      </x:c>
      <x:c r="H11" s="1" t="s">
        <x:v>42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43</x:v>
      </x:c>
      <x:c r="G12" s="1" t="s">
        <x:v>20</x:v>
      </x:c>
      <x:c r="H12" s="1" t="s">
        <x:v>42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42</x:v>
      </x:c>
      <x:c r="G13" s="1" t="s">
        <x:v>20</x:v>
      </x:c>
      <x:c r="H13" s="1" t="s">
        <x:v>44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45</x:v>
      </x:c>
      <x:c r="G14" s="1" t="s">
        <x:v>20</x:v>
      </x:c>
      <x:c r="H14" s="1" t="s">
        <x:v>46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47</x:v>
      </x:c>
      <x:c r="B15" s="2" t="s">
        <x:v>18</x:v>
      </x:c>
      <x:c r="C15" s="2">
        <x:f>HYPERLINK("https://team-my3q.testit.software/projects/1/tests/6", "Успешный Log in пользователя")</x:f>
      </x:c>
      <x:c r="D15" s="1" t="s">
        <x:v>19</x:v>
      </x:c>
      <x:c r="E15" s="1" t="s">
        <x:v>20</x:v>
      </x:c>
      <x:c r="F15" s="1" t="s">
        <x:v>20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21</x:v>
      </x:c>
      <x:c r="M15" s="1" t="s">
        <x:v>22</x:v>
      </x:c>
      <x:c r="N15" s="1" t="s">
        <x:v>48</x:v>
      </x:c>
      <x:c r="O15" s="1" t="s">
        <x:v>24</x:v>
      </x:c>
      <x:c r="P15" s="1" t="s">
        <x:v>25</x:v>
      </x:c>
      <x:c r="Q15" s="1" t="s">
        <x:v>40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49</x:v>
      </x:c>
      <x:c r="F16" s="1" t="s">
        <x:v>20</x:v>
      </x:c>
      <x:c r="G16" s="1" t="s">
        <x:v>20</x:v>
      </x:c>
      <x:c r="H16" s="1" t="s">
        <x:v>30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50</x:v>
      </x:c>
      <x:c r="G17" s="1" t="s">
        <x:v>20</x:v>
      </x:c>
      <x:c r="H17" s="1" t="s">
        <x:v>51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52</x:v>
      </x:c>
      <x:c r="G18" s="1" t="s">
        <x:v>20</x:v>
      </x:c>
      <x:c r="H18" s="1" t="s">
        <x:v>53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54</x:v>
      </x:c>
      <x:c r="B19" s="2" t="s">
        <x:v>18</x:v>
      </x:c>
      <x:c r="C19" s="2">
        <x:f>HYPERLINK("https://team-my3q.testit.software/projects/1/tests/7", "Выход из системы")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21</x:v>
      </x:c>
      <x:c r="M19" s="1" t="s">
        <x:v>22</x:v>
      </x:c>
      <x:c r="N19" s="1" t="s">
        <x:v>55</x:v>
      </x:c>
      <x:c r="O19" s="1" t="s">
        <x:v>24</x:v>
      </x:c>
      <x:c r="P19" s="1" t="s">
        <x:v>25</x:v>
      </x:c>
      <x:c r="Q19" s="1" t="s">
        <x:v>40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56</x:v>
      </x:c>
      <x:c r="F20" s="1" t="s">
        <x:v>20</x:v>
      </x:c>
      <x:c r="G20" s="1" t="s">
        <x:v>20</x:v>
      </x:c>
      <x:c r="H20" s="1" t="s">
        <x:v>30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57</x:v>
      </x:c>
      <x:c r="G21" s="1" t="s">
        <x:v>20</x:v>
      </x:c>
      <x:c r="H21" s="1" t="s">
        <x:v>58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58</x:v>
      </x:c>
      <x:c r="G22" s="1" t="s">
        <x:v>20</x:v>
      </x:c>
      <x:c r="H22" s="1" t="s">
        <x:v>59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60</x:v>
      </x:c>
      <x:c r="B23" s="2" t="s">
        <x:v>18</x:v>
      </x:c>
      <x:c r="C23" s="2">
        <x:f>HYPERLINK("https://team-my3q.testit.software/projects/1/tests/8", "Проверка авторизации")</x:f>
      </x:c>
      <x:c r="D23" s="1" t="s">
        <x:v>19</x:v>
      </x:c>
      <x:c r="E23" s="1" t="s">
        <x:v>20</x:v>
      </x:c>
      <x:c r="F23" s="1" t="s">
        <x:v>20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20</x:v>
      </x:c>
      <x:c r="L23" s="1" t="s">
        <x:v>21</x:v>
      </x:c>
      <x:c r="M23" s="1" t="s">
        <x:v>22</x:v>
      </x:c>
      <x:c r="N23" s="1" t="s">
        <x:v>61</x:v>
      </x:c>
      <x:c r="O23" s="1" t="s">
        <x:v>24</x:v>
      </x:c>
      <x:c r="P23" s="1" t="s">
        <x:v>25</x:v>
      </x:c>
      <x:c r="Q23" s="1" t="s">
        <x:v>40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62</x:v>
      </x:c>
      <x:c r="F24" s="1" t="s">
        <x:v>20</x:v>
      </x:c>
      <x:c r="G24" s="1" t="s">
        <x:v>20</x:v>
      </x:c>
      <x:c r="H24" s="1" t="s">
        <x:v>30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63</x:v>
      </x:c>
      <x:c r="G25" s="1" t="s">
        <x:v>20</x:v>
      </x:c>
      <x:c r="H25" s="1" t="s">
        <x:v>64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65</x:v>
      </x:c>
      <x:c r="G26" s="1" t="s">
        <x:v>20</x:v>
      </x:c>
      <x:c r="H26" s="1" t="s">
        <x:v>64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66</x:v>
      </x:c>
      <x:c r="G27" s="1" t="s">
        <x:v>20</x:v>
      </x:c>
      <x:c r="H27" s="1" t="s">
        <x:v>64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67</x:v>
      </x:c>
      <x:c r="B28" s="2" t="s">
        <x:v>18</x:v>
      </x:c>
      <x:c r="C28" s="2">
        <x:f>HYPERLINK("https://team-my3q.testit.software/projects/1/tests/9", "Неверное имя")</x:f>
      </x:c>
      <x:c r="D28" s="1" t="s">
        <x:v>19</x:v>
      </x:c>
      <x:c r="E28" s="1" t="s">
        <x:v>20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21</x:v>
      </x:c>
      <x:c r="M28" s="1" t="s">
        <x:v>22</x:v>
      </x:c>
      <x:c r="N28" s="1" t="s">
        <x:v>68</x:v>
      </x:c>
      <x:c r="O28" s="1" t="s">
        <x:v>24</x:v>
      </x:c>
      <x:c r="P28" s="1" t="s">
        <x:v>25</x:v>
      </x:c>
      <x:c r="Q28" s="1" t="s">
        <x:v>26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69</x:v>
      </x:c>
      <x:c r="G29" s="1" t="s">
        <x:v>20</x:v>
      </x:c>
      <x:c r="H29" s="1" t="s">
        <x:v>70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71</x:v>
      </x:c>
      <x:c r="G30" s="1" t="s">
        <x:v>20</x:v>
      </x:c>
      <x:c r="H30" s="1" t="s">
        <x:v>70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72</x:v>
      </x:c>
      <x:c r="G31" s="1" t="s">
        <x:v>20</x:v>
      </x:c>
      <x:c r="H31" s="1" t="s">
        <x:v>70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73</x:v>
      </x:c>
      <x:c r="G32" s="1" t="s">
        <x:v>20</x:v>
      </x:c>
      <x:c r="H32" s="1" t="s">
        <x:v>70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74</x:v>
      </x:c>
      <x:c r="B33" s="2" t="s">
        <x:v>18</x:v>
      </x:c>
      <x:c r="C33" s="2">
        <x:f>HYPERLINK("https://team-my3q.testit.software/projects/1/tests/10", "Неверный пароль")</x:f>
      </x:c>
      <x:c r="D33" s="1" t="s">
        <x:v>19</x:v>
      </x:c>
      <x:c r="E33" s="1" t="s">
        <x:v>20</x:v>
      </x:c>
      <x:c r="F33" s="1" t="s">
        <x:v>20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20</x:v>
      </x:c>
      <x:c r="L33" s="1" t="s">
        <x:v>21</x:v>
      </x:c>
      <x:c r="M33" s="1" t="s">
        <x:v>22</x:v>
      </x:c>
      <x:c r="N33" s="1" t="s">
        <x:v>75</x:v>
      </x:c>
      <x:c r="O33" s="1" t="s">
        <x:v>24</x:v>
      </x:c>
      <x:c r="P33" s="1" t="s">
        <x:v>25</x:v>
      </x:c>
      <x:c r="Q33" s="1" t="s">
        <x:v>26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76</x:v>
      </x:c>
      <x:c r="G34" s="1" t="s">
        <x:v>20</x:v>
      </x:c>
      <x:c r="H34" s="1" t="s">
        <x:v>77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78</x:v>
      </x:c>
      <x:c r="G35" s="1" t="s">
        <x:v>20</x:v>
      </x:c>
      <x:c r="H35" s="1" t="s">
        <x:v>77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79</x:v>
      </x:c>
      <x:c r="G36" s="1" t="s">
        <x:v>20</x:v>
      </x:c>
      <x:c r="H36" s="1" t="s">
        <x:v>77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80</x:v>
      </x:c>
      <x:c r="B37" s="2" t="s">
        <x:v>18</x:v>
      </x:c>
      <x:c r="C37" s="2">
        <x:f>HYPERLINK("https://team-my3q.testit.software/projects/1/tests/11", "Неверный Log In пользователя")</x:f>
      </x:c>
      <x:c r="D37" s="1" t="s">
        <x:v>19</x:v>
      </x:c>
      <x:c r="E37" s="1" t="s">
        <x:v>20</x:v>
      </x:c>
      <x:c r="F37" s="1" t="s">
        <x:v>20</x:v>
      </x:c>
      <x:c r="G37" s="1" t="s">
        <x:v>20</x:v>
      </x:c>
      <x:c r="H37" s="1" t="s">
        <x:v>20</x:v>
      </x:c>
      <x:c r="I37" s="1" t="s">
        <x:v>20</x:v>
      </x:c>
      <x:c r="J37" s="1" t="s">
        <x:v>20</x:v>
      </x:c>
      <x:c r="K37" s="1" t="s">
        <x:v>20</x:v>
      </x:c>
      <x:c r="L37" s="1" t="s">
        <x:v>21</x:v>
      </x:c>
      <x:c r="M37" s="1" t="s">
        <x:v>22</x:v>
      </x:c>
      <x:c r="N37" s="1" t="s">
        <x:v>81</x:v>
      </x:c>
      <x:c r="O37" s="1" t="s">
        <x:v>24</x:v>
      </x:c>
      <x:c r="P37" s="1" t="s">
        <x:v>25</x:v>
      </x:c>
      <x:c r="Q37" s="1" t="s">
        <x:v>40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82</x:v>
      </x:c>
      <x:c r="G38" s="1" t="s">
        <x:v>20</x:v>
      </x:c>
      <x:c r="H38" s="1" t="s">
        <x:v>77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83</x:v>
      </x:c>
      <x:c r="G39" s="1" t="s">
        <x:v>20</x:v>
      </x:c>
      <x:c r="H39" s="1" t="s">
        <x:v>77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84</x:v>
      </x:c>
      <x:c r="B40" s="2" t="s">
        <x:v>18</x:v>
      </x:c>
      <x:c r="C40" s="2">
        <x:f>HYPERLINK("https://team-my3q.testit.software/projects/1/tests/12", "Нет авторизации")</x:f>
      </x:c>
      <x:c r="D40" s="1" t="s">
        <x:v>19</x:v>
      </x:c>
      <x:c r="E40" s="1" t="s">
        <x:v>20</x:v>
      </x:c>
      <x:c r="F40" s="1" t="s">
        <x:v>20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20</x:v>
      </x:c>
      <x:c r="L40" s="1" t="s">
        <x:v>21</x:v>
      </x:c>
      <x:c r="M40" s="1" t="s">
        <x:v>22</x:v>
      </x:c>
      <x:c r="N40" s="1" t="s">
        <x:v>85</x:v>
      </x:c>
      <x:c r="O40" s="1" t="s">
        <x:v>24</x:v>
      </x:c>
      <x:c r="P40" s="1" t="s">
        <x:v>25</x:v>
      </x:c>
      <x:c r="Q40" s="1" t="s">
        <x:v>40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86</x:v>
      </x:c>
      <x:c r="F41" s="1" t="s">
        <x:v>20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87</x:v>
      </x:c>
      <x:c r="G42" s="1" t="s">
        <x:v>20</x:v>
      </x:c>
      <x:c r="H42" s="1" t="s">
        <x:v>88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89</x:v>
      </x:c>
      <x:c r="G43" s="1" t="s">
        <x:v>20</x:v>
      </x:c>
      <x:c r="H43" s="1" t="s">
        <x:v>90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91</x:v>
      </x:c>
      <x:c r="B44" s="2" t="s">
        <x:v>18</x:v>
      </x:c>
      <x:c r="C44" s="2">
        <x:f>HYPERLINK("https://team-my3q.testit.software/projects/1/tests/44", "Открыть приложение")</x:f>
      </x:c>
      <x:c r="D44" s="1" t="s">
        <x:v>19</x:v>
      </x:c>
      <x:c r="E44" s="1" t="s">
        <x:v>20</x:v>
      </x:c>
      <x:c r="F44" s="1" t="s">
        <x:v>20</x:v>
      </x:c>
      <x:c r="G44" s="1" t="s">
        <x:v>20</x:v>
      </x:c>
      <x:c r="H44" s="1" t="s">
        <x:v>20</x:v>
      </x:c>
      <x:c r="I44" s="1" t="s">
        <x:v>20</x:v>
      </x:c>
      <x:c r="J44" s="1" t="s">
        <x:v>20</x:v>
      </x:c>
      <x:c r="K44" s="1" t="s">
        <x:v>20</x:v>
      </x:c>
      <x:c r="L44" s="1" t="s">
        <x:v>92</x:v>
      </x:c>
      <x:c r="M44" s="1" t="s">
        <x:v>93</x:v>
      </x:c>
      <x:c r="N44" s="1" t="s">
        <x:v>94</x:v>
      </x:c>
      <x:c r="O44" s="1" t="s">
        <x:v>24</x:v>
      </x:c>
      <x:c r="P44" s="1" t="s">
        <x:v>25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95</x:v>
      </x:c>
      <x:c r="F45" s="1" t="s">
        <x:v>20</x:v>
      </x:c>
      <x:c r="G45" s="1" t="s">
        <x:v>20</x:v>
      </x:c>
      <x:c r="H45" s="1" t="s">
        <x:v>96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97</x:v>
      </x:c>
      <x:c r="G46" s="1" t="s">
        <x:v>20</x:v>
      </x:c>
      <x:c r="H46" s="1" t="s">
        <x:v>98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99</x:v>
      </x:c>
      <x:c r="B47" s="2" t="s">
        <x:v>18</x:v>
      </x:c>
      <x:c r="C47" s="2">
        <x:f>HYPERLINK("https://team-my3q.testit.software/projects/1/tests/45", "Рецензирование записи LongTap")</x:f>
      </x:c>
      <x:c r="D47" s="1" t="s">
        <x:v>19</x:v>
      </x:c>
      <x:c r="E47" s="1" t="s">
        <x:v>20</x:v>
      </x:c>
      <x:c r="F47" s="1" t="s">
        <x:v>20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20</x:v>
      </x:c>
      <x:c r="L47" s="1" t="s">
        <x:v>21</x:v>
      </x:c>
      <x:c r="M47" s="1" t="s">
        <x:v>93</x:v>
      </x:c>
      <x:c r="N47" s="1" t="s">
        <x:v>100</x:v>
      </x:c>
      <x:c r="O47" s="1" t="s">
        <x:v>24</x:v>
      </x:c>
      <x:c r="P47" s="1" t="s">
        <x:v>25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101</x:v>
      </x:c>
      <x:c r="F48" s="1" t="s">
        <x:v>20</x:v>
      </x:c>
      <x:c r="G48" s="1" t="s">
        <x:v>20</x:v>
      </x:c>
      <x:c r="H48" s="1" t="s">
        <x:v>20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102</x:v>
      </x:c>
      <x:c r="F49" s="1" t="s">
        <x:v>20</x:v>
      </x:c>
      <x:c r="G49" s="1" t="s">
        <x:v>20</x:v>
      </x:c>
      <x:c r="H49" s="1" t="s">
        <x:v>103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104</x:v>
      </x:c>
      <x:c r="G50" s="1" t="s">
        <x:v>20</x:v>
      </x:c>
      <x:c r="H50" s="1" t="s">
        <x:v>105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106</x:v>
      </x:c>
      <x:c r="B51" s="2" t="s">
        <x:v>18</x:v>
      </x:c>
      <x:c r="C51" s="2">
        <x:f>HYPERLINK("https://team-my3q.testit.software/projects/1/tests/46", "Введение задачи с помощью клавиатуры телефона")</x:f>
      </x:c>
      <x:c r="D51" s="1" t="s">
        <x:v>19</x:v>
      </x:c>
      <x:c r="E51" s="1" t="s">
        <x:v>20</x:v>
      </x:c>
      <x:c r="F51" s="1" t="s">
        <x:v>20</x:v>
      </x:c>
      <x:c r="G51" s="1" t="s">
        <x:v>20</x:v>
      </x:c>
      <x:c r="H51" s="1" t="s">
        <x:v>20</x:v>
      </x:c>
      <x:c r="I51" s="1" t="s">
        <x:v>20</x:v>
      </x:c>
      <x:c r="J51" s="1" t="s">
        <x:v>20</x:v>
      </x:c>
      <x:c r="K51" s="1" t="s">
        <x:v>20</x:v>
      </x:c>
      <x:c r="L51" s="1" t="s">
        <x:v>107</x:v>
      </x:c>
      <x:c r="M51" s="1" t="s">
        <x:v>108</x:v>
      </x:c>
      <x:c r="N51" s="1" t="s">
        <x:v>109</x:v>
      </x:c>
      <x:c r="O51" s="1" t="s">
        <x:v>24</x:v>
      </x:c>
      <x:c r="P51" s="1" t="s">
        <x:v>25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110</x:v>
      </x:c>
      <x:c r="G52" s="1" t="s">
        <x:v>20</x:v>
      </x:c>
      <x:c r="H52" s="1" t="s">
        <x:v>111</x:v>
      </x:c>
      <x:c r="I52" s="1" t="s">
        <x:v>20</x:v>
      </x:c>
      <x:c r="J52" s="1" t="s">
        <x:v>112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113</x:v>
      </x:c>
      <x:c r="B53" s="2" t="s">
        <x:v>18</x:v>
      </x:c>
      <x:c r="C53" s="2">
        <x:f>HYPERLINK("https://team-my3q.testit.software/projects/1/tests/47", "Введение записи на русском")</x:f>
      </x:c>
      <x:c r="D53" s="1" t="s">
        <x:v>19</x:v>
      </x:c>
      <x:c r="E53" s="1" t="s">
        <x:v>20</x:v>
      </x:c>
      <x:c r="F53" s="1" t="s">
        <x:v>20</x:v>
      </x:c>
      <x:c r="G53" s="1" t="s">
        <x:v>20</x:v>
      </x:c>
      <x:c r="H53" s="1" t="s">
        <x:v>20</x:v>
      </x:c>
      <x:c r="I53" s="1" t="s">
        <x:v>20</x:v>
      </x:c>
      <x:c r="J53" s="1" t="s">
        <x:v>20</x:v>
      </x:c>
      <x:c r="K53" s="1" t="s">
        <x:v>20</x:v>
      </x:c>
      <x:c r="L53" s="1" t="s">
        <x:v>21</x:v>
      </x:c>
      <x:c r="M53" s="1" t="s">
        <x:v>22</x:v>
      </x:c>
      <x:c r="N53" s="1" t="s">
        <x:v>114</x:v>
      </x:c>
      <x:c r="O53" s="1" t="s">
        <x:v>24</x:v>
      </x:c>
      <x:c r="P53" s="1" t="s">
        <x:v>25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115</x:v>
      </x:c>
      <x:c r="F54" s="1" t="s">
        <x:v>20</x:v>
      </x:c>
      <x:c r="G54" s="1" t="s">
        <x:v>20</x:v>
      </x:c>
      <x:c r="H54" s="1" t="s">
        <x:v>116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117</x:v>
      </x:c>
      <x:c r="G55" s="1" t="s">
        <x:v>20</x:v>
      </x:c>
      <x:c r="H55" s="1" t="s">
        <x:v>118</x:v>
      </x:c>
      <x:c r="I55" s="1" t="s">
        <x:v>20</x:v>
      </x:c>
      <x:c r="J55" s="1" t="s">
        <x:v>119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120</x:v>
      </x:c>
      <x:c r="B56" s="2" t="s">
        <x:v>18</x:v>
      </x:c>
      <x:c r="C56" s="2">
        <x:f>HYPERLINK("https://team-my3q.testit.software/projects/1/tests/48", "Ввод чисел ")</x:f>
      </x:c>
      <x:c r="D56" s="1" t="s">
        <x:v>19</x:v>
      </x:c>
      <x:c r="E56" s="1" t="s">
        <x:v>20</x:v>
      </x:c>
      <x:c r="F56" s="1" t="s">
        <x:v>20</x:v>
      </x:c>
      <x:c r="G56" s="1" t="s">
        <x:v>20</x:v>
      </x:c>
      <x:c r="H56" s="1" t="s">
        <x:v>20</x:v>
      </x:c>
      <x:c r="I56" s="1" t="s">
        <x:v>20</x:v>
      </x:c>
      <x:c r="J56" s="1" t="s">
        <x:v>20</x:v>
      </x:c>
      <x:c r="K56" s="1" t="s">
        <x:v>20</x:v>
      </x:c>
      <x:c r="L56" s="1" t="s">
        <x:v>21</x:v>
      </x:c>
      <x:c r="M56" s="1" t="s">
        <x:v>108</x:v>
      </x:c>
      <x:c r="N56" s="1" t="s">
        <x:v>121</x:v>
      </x:c>
      <x:c r="O56" s="1" t="s">
        <x:v>24</x:v>
      </x:c>
      <x:c r="P56" s="1" t="s">
        <x:v>25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122</x:v>
      </x:c>
      <x:c r="G57" s="1" t="s">
        <x:v>20</x:v>
      </x:c>
      <x:c r="H57" s="1" t="s">
        <x:v>123</x:v>
      </x:c>
      <x:c r="I57" s="1" t="s">
        <x:v>124</x:v>
      </x:c>
      <x:c r="J57" s="1" t="s">
        <x:v>112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125</x:v>
      </x:c>
      <x:c r="B58" s="2" t="s">
        <x:v>18</x:v>
      </x:c>
      <x:c r="C58" s="2">
        <x:f>HYPERLINK("https://team-my3q.testit.software/projects/1/tests/49", "Ввод чисел и знаков на русском языке")</x:f>
      </x:c>
      <x:c r="D58" s="1" t="s">
        <x:v>19</x:v>
      </x:c>
      <x:c r="E58" s="1" t="s">
        <x:v>20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21</x:v>
      </x:c>
      <x:c r="M58" s="1" t="s">
        <x:v>22</x:v>
      </x:c>
      <x:c r="N58" s="1" t="s">
        <x:v>126</x:v>
      </x:c>
      <x:c r="O58" s="1" t="s">
        <x:v>24</x:v>
      </x:c>
      <x:c r="P58" s="1" t="s">
        <x:v>25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127</x:v>
      </x:c>
      <x:c r="G59" s="1" t="s">
        <x:v>20</x:v>
      </x:c>
      <x:c r="H59" s="1" t="s">
        <x:v>118</x:v>
      </x:c>
      <x:c r="I59" s="1" t="s">
        <x:v>128</x:v>
      </x:c>
      <x:c r="J59" s="1" t="s">
        <x:v>112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129</x:v>
      </x:c>
      <x:c r="B60" s="2" t="s">
        <x:v>18</x:v>
      </x:c>
      <x:c r="C60" s="2">
        <x:f>HYPERLINK("https://team-my3q.testit.software/projects/1/tests/50", "Ввод букв и цифр")</x:f>
      </x:c>
      <x:c r="D60" s="1" t="s">
        <x:v>19</x:v>
      </x:c>
      <x:c r="E60" s="1" t="s">
        <x:v>20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21</x:v>
      </x:c>
      <x:c r="M60" s="1" t="s">
        <x:v>108</x:v>
      </x:c>
      <x:c r="N60" s="1" t="s">
        <x:v>130</x:v>
      </x:c>
      <x:c r="O60" s="1" t="s">
        <x:v>24</x:v>
      </x:c>
      <x:c r="P60" s="1" t="s">
        <x:v>25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131</x:v>
      </x:c>
      <x:c r="G61" s="1" t="s">
        <x:v>20</x:v>
      </x:c>
      <x:c r="H61" s="1" t="s">
        <x:v>103</x:v>
      </x:c>
      <x:c r="I61" s="1" t="s">
        <x:v>132</x:v>
      </x:c>
      <x:c r="J61" s="1" t="s">
        <x:v>133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134</x:v>
      </x:c>
      <x:c r="B62" s="2" t="s">
        <x:v>18</x:v>
      </x:c>
      <x:c r="C62" s="2">
        <x:f>HYPERLINK("https://team-my3q.testit.software/projects/1/tests/51", "Swipe влево - закрытие приложения")</x:f>
      </x:c>
      <x:c r="D62" s="1" t="s">
        <x:v>19</x:v>
      </x:c>
      <x:c r="E62" s="1" t="s">
        <x:v>20</x:v>
      </x:c>
      <x:c r="F62" s="1" t="s">
        <x:v>20</x:v>
      </x:c>
      <x:c r="G62" s="1" t="s">
        <x:v>20</x:v>
      </x:c>
      <x:c r="H62" s="1" t="s">
        <x:v>20</x:v>
      </x:c>
      <x:c r="I62" s="1" t="s">
        <x:v>20</x:v>
      </x:c>
      <x:c r="J62" s="1" t="s">
        <x:v>20</x:v>
      </x:c>
      <x:c r="K62" s="1" t="s">
        <x:v>20</x:v>
      </x:c>
      <x:c r="L62" s="1" t="s">
        <x:v>21</x:v>
      </x:c>
      <x:c r="M62" s="1" t="s">
        <x:v>93</x:v>
      </x:c>
      <x:c r="N62" s="1" t="s">
        <x:v>135</x:v>
      </x:c>
      <x:c r="O62" s="1" t="s">
        <x:v>24</x:v>
      </x:c>
      <x:c r="P62" s="1" t="s">
        <x:v>25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136</x:v>
      </x:c>
      <x:c r="G63" s="1" t="s">
        <x:v>20</x:v>
      </x:c>
      <x:c r="H63" s="1" t="s">
        <x:v>137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138</x:v>
      </x:c>
      <x:c r="B64" s="2" t="s">
        <x:v>18</x:v>
      </x:c>
      <x:c r="C64" s="2">
        <x:f>HYPERLINK("https://team-my3q.testit.software/projects/1/tests/52", "Удаление заметки")</x:f>
      </x:c>
      <x:c r="D64" s="1" t="s">
        <x:v>19</x:v>
      </x:c>
      <x:c r="E64" s="1" t="s">
        <x:v>20</x:v>
      </x:c>
      <x:c r="F64" s="1" t="s">
        <x:v>20</x:v>
      </x:c>
      <x:c r="G64" s="1" t="s">
        <x:v>20</x:v>
      </x:c>
      <x:c r="H64" s="1" t="s">
        <x:v>20</x:v>
      </x:c>
      <x:c r="I64" s="1" t="s">
        <x:v>20</x:v>
      </x:c>
      <x:c r="J64" s="1" t="s">
        <x:v>20</x:v>
      </x:c>
      <x:c r="K64" s="1" t="s">
        <x:v>20</x:v>
      </x:c>
      <x:c r="L64" s="1" t="s">
        <x:v>21</x:v>
      </x:c>
      <x:c r="M64" s="1" t="s">
        <x:v>93</x:v>
      </x:c>
      <x:c r="N64" s="1" t="s">
        <x:v>139</x:v>
      </x:c>
      <x:c r="O64" s="1" t="s">
        <x:v>24</x:v>
      </x:c>
      <x:c r="P64" s="1" t="s">
        <x:v>25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140</x:v>
      </x:c>
      <x:c r="F65" s="1" t="s">
        <x:v>20</x:v>
      </x:c>
      <x:c r="G65" s="1" t="s">
        <x:v>20</x:v>
      </x:c>
      <x:c r="H65" s="1" t="s">
        <x:v>20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141</x:v>
      </x:c>
      <x:c r="G66" s="1" t="s">
        <x:v>20</x:v>
      </x:c>
      <x:c r="H66" s="1" t="s">
        <x:v>142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143</x:v>
      </x:c>
      <x:c r="B67" s="2" t="s">
        <x:v>18</x:v>
      </x:c>
      <x:c r="C67" s="2">
        <x:f>HYPERLINK("https://team-my3q.testit.software/projects/1/tests/53", "Редактирование заметки (английский язык)")</x:f>
      </x:c>
      <x:c r="D67" s="1" t="s">
        <x:v>19</x:v>
      </x:c>
      <x:c r="E67" s="1" t="s">
        <x:v>20</x:v>
      </x:c>
      <x:c r="F67" s="1" t="s">
        <x:v>20</x:v>
      </x:c>
      <x:c r="G67" s="1" t="s">
        <x:v>20</x:v>
      </x:c>
      <x:c r="H67" s="1" t="s">
        <x:v>20</x:v>
      </x:c>
      <x:c r="I67" s="1" t="s">
        <x:v>20</x:v>
      </x:c>
      <x:c r="J67" s="1" t="s">
        <x:v>20</x:v>
      </x:c>
      <x:c r="K67" s="1" t="s">
        <x:v>20</x:v>
      </x:c>
      <x:c r="L67" s="1" t="s">
        <x:v>21</x:v>
      </x:c>
      <x:c r="M67" s="1" t="s">
        <x:v>108</x:v>
      </x:c>
      <x:c r="N67" s="1" t="s">
        <x:v>144</x:v>
      </x:c>
      <x:c r="O67" s="1" t="s">
        <x:v>24</x:v>
      </x:c>
      <x:c r="P67" s="1" t="s">
        <x:v>25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145</x:v>
      </x:c>
      <x:c r="F68" s="1" t="s">
        <x:v>20</x:v>
      </x:c>
      <x:c r="G68" s="1" t="s">
        <x:v>20</x:v>
      </x:c>
      <x:c r="H68" s="1" t="s">
        <x:v>20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146</x:v>
      </x:c>
      <x:c r="G69" s="1" t="s">
        <x:v>20</x:v>
      </x:c>
      <x:c r="H69" s="1" t="s">
        <x:v>20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147</x:v>
      </x:c>
      <x:c r="G70" s="1" t="s">
        <x:v>20</x:v>
      </x:c>
      <x:c r="H70" s="1" t="s">
        <x:v>148</x:v>
      </x:c>
      <x:c r="I70" s="1" t="s">
        <x:v>149</x:v>
      </x:c>
      <x:c r="J70" s="1" t="s">
        <x:v>150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151</x:v>
      </x:c>
      <x:c r="B71" s="2" t="s">
        <x:v>18</x:v>
      </x:c>
      <x:c r="C71" s="2">
        <x:f>HYPERLINK("https://team-my3q.testit.software/projects/1/tests/54", "Специальные возможности (выделение текста)")</x:f>
      </x:c>
      <x:c r="D71" s="1" t="s">
        <x:v>19</x:v>
      </x:c>
      <x:c r="E71" s="1" t="s">
        <x:v>20</x:v>
      </x:c>
      <x:c r="F71" s="1" t="s">
        <x:v>20</x:v>
      </x:c>
      <x:c r="G71" s="1" t="s">
        <x:v>20</x:v>
      </x:c>
      <x:c r="H71" s="1" t="s">
        <x:v>20</x:v>
      </x:c>
      <x:c r="I71" s="1" t="s">
        <x:v>20</x:v>
      </x:c>
      <x:c r="J71" s="1" t="s">
        <x:v>20</x:v>
      </x:c>
      <x:c r="K71" s="1" t="s">
        <x:v>20</x:v>
      </x:c>
      <x:c r="L71" s="1" t="s">
        <x:v>21</x:v>
      </x:c>
      <x:c r="M71" s="1" t="s">
        <x:v>108</x:v>
      </x:c>
      <x:c r="N71" s="1" t="s">
        <x:v>152</x:v>
      </x:c>
      <x:c r="O71" s="1" t="s">
        <x:v>24</x:v>
      </x:c>
      <x:c r="P71" s="1" t="s">
        <x:v>25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153</x:v>
      </x:c>
      <x:c r="G72" s="1" t="s">
        <x:v>20</x:v>
      </x:c>
      <x:c r="H72" s="1" t="s">
        <x:v>154</x:v>
      </x:c>
      <x:c r="I72" s="1" t="s">
        <x:v>20</x:v>
      </x:c>
      <x:c r="J72" s="1" t="s">
        <x:v>155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156</x:v>
      </x:c>
      <x:c r="B73" s="2" t="s">
        <x:v>18</x:v>
      </x:c>
      <x:c r="C73" s="2">
        <x:f>HYPERLINK("https://team-my3q.testit.software/projects/1/tests/55", "Специальные возможности (разделение текста)")</x:f>
      </x:c>
      <x:c r="D73" s="1" t="s">
        <x:v>19</x:v>
      </x:c>
      <x:c r="E73" s="1" t="s">
        <x:v>20</x:v>
      </x:c>
      <x:c r="F73" s="1" t="s">
        <x:v>20</x:v>
      </x:c>
      <x:c r="G73" s="1" t="s">
        <x:v>20</x:v>
      </x:c>
      <x:c r="H73" s="1" t="s">
        <x:v>20</x:v>
      </x:c>
      <x:c r="I73" s="1" t="s">
        <x:v>20</x:v>
      </x:c>
      <x:c r="J73" s="1" t="s">
        <x:v>20</x:v>
      </x:c>
      <x:c r="K73" s="1" t="s">
        <x:v>20</x:v>
      </x:c>
      <x:c r="L73" s="1" t="s">
        <x:v>21</x:v>
      </x:c>
      <x:c r="M73" s="1" t="s">
        <x:v>108</x:v>
      </x:c>
      <x:c r="N73" s="1" t="s">
        <x:v>157</x:v>
      </x:c>
      <x:c r="O73" s="1" t="s">
        <x:v>24</x:v>
      </x:c>
      <x:c r="P73" s="1" t="s">
        <x:v>25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158</x:v>
      </x:c>
      <x:c r="G74" s="1" t="s">
        <x:v>20</x:v>
      </x:c>
      <x:c r="H74" s="1" t="s">
        <x:v>159</x:v>
      </x:c>
      <x:c r="I74" s="1" t="s">
        <x:v>20</x:v>
      </x:c>
      <x:c r="J74" s="1" t="s">
        <x:v>160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161</x:v>
      </x:c>
      <x:c r="B75" s="2" t="s">
        <x:v>18</x:v>
      </x:c>
      <x:c r="C75" s="2">
        <x:f>HYPERLINK("https://team-my3q.testit.software/projects/1/tests/56", "Специальные возможности (добавление текста)")</x:f>
      </x:c>
      <x:c r="D75" s="1" t="s">
        <x:v>19</x:v>
      </x:c>
      <x:c r="E75" s="1" t="s">
        <x:v>20</x:v>
      </x:c>
      <x:c r="F75" s="1" t="s">
        <x:v>20</x:v>
      </x:c>
      <x:c r="G75" s="1" t="s">
        <x:v>20</x:v>
      </x:c>
      <x:c r="H75" s="1" t="s">
        <x:v>20</x:v>
      </x:c>
      <x:c r="I75" s="1" t="s">
        <x:v>20</x:v>
      </x:c>
      <x:c r="J75" s="1" t="s">
        <x:v>20</x:v>
      </x:c>
      <x:c r="K75" s="1" t="s">
        <x:v>20</x:v>
      </x:c>
      <x:c r="L75" s="1" t="s">
        <x:v>21</x:v>
      </x:c>
      <x:c r="M75" s="1" t="s">
        <x:v>108</x:v>
      </x:c>
      <x:c r="N75" s="1" t="s">
        <x:v>162</x:v>
      </x:c>
      <x:c r="O75" s="1" t="s">
        <x:v>24</x:v>
      </x:c>
      <x:c r="P75" s="1" t="s">
        <x:v>25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163</x:v>
      </x:c>
      <x:c r="G76" s="1" t="s">
        <x:v>20</x:v>
      </x:c>
      <x:c r="H76" s="1" t="s">
        <x:v>164</x:v>
      </x:c>
      <x:c r="I76" s="1" t="s">
        <x:v>20</x:v>
      </x:c>
      <x:c r="J76" s="1" t="s">
        <x:v>165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Project_Основной проект</vt:lpstr>
      <vt:lpstr>Project_Основной проект!Print_Area</vt:lpstr>
      <vt:lpstr>Project_Основной проект!Print_Titles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